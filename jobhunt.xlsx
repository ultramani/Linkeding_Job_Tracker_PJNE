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ltra\Desktop\Importante\Self-L\Projects\Linkeding_Job_Tracker_PJNE\"/>
    </mc:Choice>
  </mc:AlternateContent>
  <xr:revisionPtr revIDLastSave="0" documentId="13_ncr:1_{255E0FFD-A9AF-42B2-A7A8-3AE22B17CD57}" xr6:coauthVersionLast="47" xr6:coauthVersionMax="47" xr10:uidLastSave="{00000000-0000-0000-0000-000000000000}"/>
  <bookViews>
    <workbookView xWindow="6840" yWindow="3540" windowWidth="25410" windowHeight="17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" i="1" l="1"/>
  <c r="E21" i="1"/>
  <c r="G20" i="1"/>
  <c r="E20" i="1"/>
  <c r="G19" i="1"/>
  <c r="E19" i="1"/>
  <c r="G18" i="1"/>
  <c r="E18" i="1"/>
  <c r="G17" i="1"/>
  <c r="E17" i="1"/>
  <c r="G16" i="1"/>
  <c r="E16" i="1"/>
  <c r="G15" i="1"/>
  <c r="E15" i="1"/>
  <c r="G14" i="1"/>
  <c r="E14" i="1"/>
  <c r="G13" i="1"/>
  <c r="E13" i="1"/>
  <c r="G12" i="1"/>
  <c r="E12" i="1"/>
  <c r="G11" i="1"/>
  <c r="E11" i="1"/>
  <c r="G10" i="1"/>
  <c r="E10" i="1"/>
  <c r="G9" i="1"/>
  <c r="E9" i="1"/>
  <c r="G8" i="1"/>
  <c r="E8" i="1"/>
  <c r="G7" i="1"/>
  <c r="E7" i="1"/>
  <c r="G6" i="1"/>
  <c r="E6" i="1"/>
  <c r="G5" i="1"/>
  <c r="E5" i="1"/>
  <c r="G4" i="1"/>
  <c r="E4" i="1"/>
  <c r="G3" i="1"/>
  <c r="E3" i="1"/>
  <c r="G2" i="1"/>
  <c r="E2" i="1"/>
</calcChain>
</file>

<file path=xl/sharedStrings.xml><?xml version="1.0" encoding="utf-8"?>
<sst xmlns="http://schemas.openxmlformats.org/spreadsheetml/2006/main" count="202" uniqueCount="74">
  <si>
    <t>job_id</t>
  </si>
  <si>
    <t>Estado</t>
  </si>
  <si>
    <t>job_title</t>
  </si>
  <si>
    <t>company_name</t>
  </si>
  <si>
    <t>company_link</t>
  </si>
  <si>
    <t>workplace_access</t>
  </si>
  <si>
    <t>apply_link</t>
  </si>
  <si>
    <t>work_type</t>
  </si>
  <si>
    <t>seniority_level</t>
  </si>
  <si>
    <t>employment_type</t>
  </si>
  <si>
    <t>num_applicants</t>
  </si>
  <si>
    <t>time_posted</t>
  </si>
  <si>
    <t>4375730080</t>
  </si>
  <si>
    <t>A aplicar</t>
  </si>
  <si>
    <t>Desarrollador Junior Python/PySpark - RAI</t>
  </si>
  <si>
    <t>Hopla! Software</t>
  </si>
  <si>
    <t>en remoto</t>
  </si>
  <si>
    <t>2 days ago</t>
  </si>
  <si>
    <t>Not Applicable</t>
  </si>
  <si>
    <t>Full-time</t>
  </si>
  <si>
    <t>4343901472</t>
  </si>
  <si>
    <t>Junior Software Developer - Observability</t>
  </si>
  <si>
    <t>Canonical</t>
  </si>
  <si>
    <t>2 months ago</t>
  </si>
  <si>
    <t>Entry level</t>
  </si>
  <si>
    <t>Be among the first 25 applicants</t>
  </si>
  <si>
    <t>4342452527</t>
  </si>
  <si>
    <t>Join Our Talent Pipeline for QA Engineers!</t>
  </si>
  <si>
    <t>Nuvolar Works</t>
  </si>
  <si>
    <t>Mid-Senior level</t>
  </si>
  <si>
    <t>4371175870</t>
  </si>
  <si>
    <t>Desarrollador/a Backend – Python/Java – IA y Code Review - Remoto</t>
  </si>
  <si>
    <t>TheWhiteam</t>
  </si>
  <si>
    <t>2 weeks ago</t>
  </si>
  <si>
    <t>4373999796</t>
  </si>
  <si>
    <t>Junior Python Developer</t>
  </si>
  <si>
    <t>MLabs</t>
  </si>
  <si>
    <t>1 month ago</t>
  </si>
  <si>
    <t>4376580751</t>
  </si>
  <si>
    <t>Middle Product QA Engineer</t>
  </si>
  <si>
    <t>Omilia</t>
  </si>
  <si>
    <t>4272412678</t>
  </si>
  <si>
    <t>Full Stack ( Python + Vue) en remoto</t>
  </si>
  <si>
    <t>SlashMobility</t>
  </si>
  <si>
    <t>7 months ago</t>
  </si>
  <si>
    <t>4344988192</t>
  </si>
  <si>
    <t>4370527191</t>
  </si>
  <si>
    <t>Desarrollador de Python</t>
  </si>
  <si>
    <t>Axpe Consulting</t>
  </si>
  <si>
    <t>Over 200 applicants</t>
  </si>
  <si>
    <t>4368612475</t>
  </si>
  <si>
    <t>🤖📊 INGENIERO/A DE DATOS Junior Big Data SQL PYTHON SPARK para  proyectos de análisis de datos en sector puntero 🐍💡</t>
  </si>
  <si>
    <t>Quental</t>
  </si>
  <si>
    <t>3 weeks ago</t>
  </si>
  <si>
    <t>Associate</t>
  </si>
  <si>
    <t>4344868693</t>
  </si>
  <si>
    <t>4344099336</t>
  </si>
  <si>
    <t>4344753207</t>
  </si>
  <si>
    <t>4345824234</t>
  </si>
  <si>
    <t>Sr Software Engineer - Media Buying Team</t>
  </si>
  <si>
    <t>Channel Factory</t>
  </si>
  <si>
    <t>4377139056</t>
  </si>
  <si>
    <t>Sr Automation Engineer</t>
  </si>
  <si>
    <t>Logicalis Spain</t>
  </si>
  <si>
    <t>4344139135</t>
  </si>
  <si>
    <t>4348296606</t>
  </si>
  <si>
    <t>Senior Data Engineer - Databricks (m/f/*)</t>
  </si>
  <si>
    <t>Ultra Tendency</t>
  </si>
  <si>
    <t>4344898728</t>
  </si>
  <si>
    <t>4344958263</t>
  </si>
  <si>
    <t>4225591133</t>
  </si>
  <si>
    <t>Senior Full Stack Developer with Python</t>
  </si>
  <si>
    <t>Grid Dynamics</t>
  </si>
  <si>
    <t>9 months 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</si>
</sst>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5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F2CC"/>
          <b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pane ySplit="1" topLeftCell="A2" activePane="bottomLeft" state="frozen"/>
      <selection pane="bottomLeft" activeCell="G20" sqref="G20"/>
    </sheetView>
  </sheetViews>
  <sheetFormatPr baseColWidth="10" defaultColWidth="9.140625" defaultRowHeight="15" x14ac:dyDescent="0.25"/>
  <cols>
    <col min="1" max="1" width="12" customWidth="1"/>
    <col min="2" max="2" width="11" customWidth="1"/>
    <col min="3" max="3" width="85" customWidth="1"/>
    <col min="4" max="4" width="17" customWidth="1"/>
    <col min="5" max="5" width="14" customWidth="1"/>
    <col min="6" max="6" width="18" customWidth="1"/>
    <col min="7" max="7" width="12" customWidth="1"/>
    <col min="8" max="8" width="14" customWidth="1"/>
    <col min="9" max="9" width="18" customWidth="1"/>
    <col min="10" max="10" width="17" customWidth="1"/>
    <col min="11" max="11" width="34" customWidth="1"/>
    <col min="12" max="12" width="14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tr">
        <f>HYPERLINK("https://es.linkedin.com/company/hopla-tech?trk=public_jobs_topcard-org-name","Link")</f>
        <v>Link</v>
      </c>
      <c r="F2" t="s">
        <v>16</v>
      </c>
      <c r="G2" t="str">
        <f>HYPERLINK("https://es.linkedin.com/jobs/view/desarrollador-junior-python-pyspark-rai-at-hopla%21-software-4375730080?trk=public_jobs_topcard-title","Link")</f>
        <v>Link</v>
      </c>
      <c r="H2" t="s">
        <v>17</v>
      </c>
      <c r="I2" t="s">
        <v>18</v>
      </c>
      <c r="J2" t="s">
        <v>19</v>
      </c>
      <c r="L2" t="s">
        <v>17</v>
      </c>
    </row>
    <row r="3" spans="1:12" x14ac:dyDescent="0.25">
      <c r="A3" t="s">
        <v>20</v>
      </c>
      <c r="B3" t="s">
        <v>13</v>
      </c>
      <c r="C3" t="s">
        <v>21</v>
      </c>
      <c r="D3" t="s">
        <v>22</v>
      </c>
      <c r="E3" t="str">
        <f>HYPERLINK("https://uk.linkedin.com/company/canonical?trk=public_jobs_topcard-org-name","Link")</f>
        <v>Link</v>
      </c>
      <c r="F3" t="s">
        <v>16</v>
      </c>
      <c r="G3" t="str">
        <f>HYPERLINK("https://es.linkedin.com/jobs/view/junior-software-developer-observability-at-canonical-4343901472?trk=public_jobs_topcard-title","Link")</f>
        <v>Link</v>
      </c>
      <c r="H3" t="s">
        <v>23</v>
      </c>
      <c r="I3" t="s">
        <v>24</v>
      </c>
      <c r="J3" t="s">
        <v>19</v>
      </c>
      <c r="K3" t="s">
        <v>25</v>
      </c>
      <c r="L3" t="s">
        <v>23</v>
      </c>
    </row>
    <row r="4" spans="1:12" x14ac:dyDescent="0.25">
      <c r="A4" t="s">
        <v>26</v>
      </c>
      <c r="B4" t="s">
        <v>13</v>
      </c>
      <c r="C4" t="s">
        <v>27</v>
      </c>
      <c r="D4" t="s">
        <v>28</v>
      </c>
      <c r="E4" t="str">
        <f>HYPERLINK("https://es.linkedin.com/company/nuvolarworks?trk=public_jobs_topcard-org-name","Link")</f>
        <v>Link</v>
      </c>
      <c r="F4" t="s">
        <v>16</v>
      </c>
      <c r="G4" t="str">
        <f>HYPERLINK("https://es.linkedin.com/jobs/view/join-our-talent-pipeline-for-qa-engineers%21-at-nuvolar-works-4342452527?trk=public_jobs_topcard-title","Link")</f>
        <v>Link</v>
      </c>
      <c r="H4" t="s">
        <v>23</v>
      </c>
      <c r="I4" t="s">
        <v>29</v>
      </c>
      <c r="J4" t="s">
        <v>19</v>
      </c>
      <c r="L4" t="s">
        <v>23</v>
      </c>
    </row>
    <row r="5" spans="1:12" x14ac:dyDescent="0.25">
      <c r="A5" t="s">
        <v>30</v>
      </c>
      <c r="B5" t="s">
        <v>13</v>
      </c>
      <c r="C5" t="s">
        <v>31</v>
      </c>
      <c r="D5" t="s">
        <v>32</v>
      </c>
      <c r="E5" t="str">
        <f>HYPERLINK("https://es.linkedin.com/company/the-white-team-consulting?trk=public_jobs_topcard-org-name","Link")</f>
        <v>Link</v>
      </c>
      <c r="F5" t="s">
        <v>16</v>
      </c>
      <c r="G5" t="str">
        <f>HYPERLINK("https://es.linkedin.com/jobs/view/desarrollador-a-backend-%E2%80%93-python-java-%E2%80%93-ia-y-code-review-remoto-at-thewhiteam-4371175870?trk=public_jobs_topcard-title","Link")</f>
        <v>Link</v>
      </c>
      <c r="H5" t="s">
        <v>33</v>
      </c>
      <c r="I5" t="s">
        <v>18</v>
      </c>
      <c r="J5" t="s">
        <v>19</v>
      </c>
      <c r="L5" t="s">
        <v>33</v>
      </c>
    </row>
    <row r="6" spans="1:12" x14ac:dyDescent="0.25">
      <c r="A6" t="s">
        <v>34</v>
      </c>
      <c r="B6" t="s">
        <v>13</v>
      </c>
      <c r="C6" t="s">
        <v>35</v>
      </c>
      <c r="D6" t="s">
        <v>36</v>
      </c>
      <c r="E6" t="str">
        <f>HYPERLINK("https://uk.linkedin.com/company/mlabsconsulting?trk=public_jobs_topcard-org-name","Link")</f>
        <v>Link</v>
      </c>
      <c r="F6" t="s">
        <v>16</v>
      </c>
      <c r="G6" t="str">
        <f>HYPERLINK("https://es.linkedin.com/jobs/view/junior-python-developer-at-mlabs-4373999796?trk=public_jobs_topcard-title","Link")</f>
        <v>Link</v>
      </c>
      <c r="H6" t="s">
        <v>37</v>
      </c>
      <c r="I6" t="s">
        <v>24</v>
      </c>
      <c r="J6" t="s">
        <v>19</v>
      </c>
      <c r="K6" t="s">
        <v>25</v>
      </c>
      <c r="L6" t="s">
        <v>37</v>
      </c>
    </row>
    <row r="7" spans="1:12" x14ac:dyDescent="0.25">
      <c r="A7" t="s">
        <v>38</v>
      </c>
      <c r="B7" t="s">
        <v>13</v>
      </c>
      <c r="C7" t="s">
        <v>39</v>
      </c>
      <c r="D7" t="s">
        <v>40</v>
      </c>
      <c r="E7" t="str">
        <f>HYPERLINK("https://cy.linkedin.com/company/omilia-ltd?trk=public_jobs_topcard-org-name","Link")</f>
        <v>Link</v>
      </c>
      <c r="F7" t="s">
        <v>16</v>
      </c>
      <c r="G7" t="str">
        <f>HYPERLINK("https://es.linkedin.com/jobs/view/middle-product-qa-engineer-at-omilia-4376580751?trk=public_jobs_topcard-title","Link")</f>
        <v>Link</v>
      </c>
      <c r="H7" t="s">
        <v>17</v>
      </c>
      <c r="I7" t="s">
        <v>29</v>
      </c>
      <c r="J7" t="s">
        <v>19</v>
      </c>
      <c r="L7" t="s">
        <v>17</v>
      </c>
    </row>
    <row r="8" spans="1:12" x14ac:dyDescent="0.25">
      <c r="A8" t="s">
        <v>41</v>
      </c>
      <c r="B8" t="s">
        <v>13</v>
      </c>
      <c r="C8" t="s">
        <v>42</v>
      </c>
      <c r="D8" t="s">
        <v>43</v>
      </c>
      <c r="E8" t="str">
        <f>HYPERLINK("https://es.linkedin.com/company/slashmobility?trk=public_jobs_topcard-org-name","Link")</f>
        <v>Link</v>
      </c>
      <c r="F8" t="s">
        <v>16</v>
      </c>
      <c r="G8" t="str">
        <f>HYPERLINK("https://es.linkedin.com/jobs/view/full-stack-python-%2B-vue-en-remoto-at-slashmobility-4272412678?trk=public_jobs_topcard-title","Link")</f>
        <v>Link</v>
      </c>
      <c r="H8" t="s">
        <v>44</v>
      </c>
      <c r="I8" t="s">
        <v>18</v>
      </c>
      <c r="J8" t="s">
        <v>19</v>
      </c>
      <c r="L8" t="s">
        <v>44</v>
      </c>
    </row>
    <row r="9" spans="1:12" x14ac:dyDescent="0.25">
      <c r="A9" t="s">
        <v>45</v>
      </c>
      <c r="B9" t="s">
        <v>13</v>
      </c>
      <c r="C9" t="s">
        <v>21</v>
      </c>
      <c r="D9" t="s">
        <v>22</v>
      </c>
      <c r="E9" t="str">
        <f>HYPERLINK("https://uk.linkedin.com/company/canonical?trk=public_jobs_topcard-org-name","Link")</f>
        <v>Link</v>
      </c>
      <c r="F9" t="s">
        <v>16</v>
      </c>
      <c r="G9" t="str">
        <f>HYPERLINK("https://es.linkedin.com/jobs/view/junior-software-developer-observability-at-canonical-4344988192?trk=public_jobs_topcard-title","Link")</f>
        <v>Link</v>
      </c>
      <c r="H9" t="s">
        <v>23</v>
      </c>
      <c r="I9" t="s">
        <v>24</v>
      </c>
      <c r="J9" t="s">
        <v>19</v>
      </c>
      <c r="K9" t="s">
        <v>25</v>
      </c>
      <c r="L9" t="s">
        <v>23</v>
      </c>
    </row>
    <row r="10" spans="1:12" x14ac:dyDescent="0.25">
      <c r="A10" t="s">
        <v>46</v>
      </c>
      <c r="B10" t="s">
        <v>13</v>
      </c>
      <c r="C10" t="s">
        <v>47</v>
      </c>
      <c r="D10" t="s">
        <v>48</v>
      </c>
      <c r="E10" t="str">
        <f>HYPERLINK("https://es.linkedin.com/company/axpe-consulting?trk=public_jobs_topcard-org-name","Link")</f>
        <v>Link</v>
      </c>
      <c r="F10" t="s">
        <v>16</v>
      </c>
      <c r="G10" t="str">
        <f>HYPERLINK("https://es.linkedin.com/jobs/view/desarrollador-de-python-at-axpe-consulting-4370527191?trk=public_jobs_topcard-title","Link")</f>
        <v>Link</v>
      </c>
      <c r="H10" t="s">
        <v>33</v>
      </c>
      <c r="I10" t="s">
        <v>29</v>
      </c>
      <c r="J10" t="s">
        <v>19</v>
      </c>
      <c r="K10" t="s">
        <v>49</v>
      </c>
      <c r="L10" t="s">
        <v>33</v>
      </c>
    </row>
    <row r="11" spans="1:12" x14ac:dyDescent="0.25">
      <c r="A11" t="s">
        <v>50</v>
      </c>
      <c r="B11" t="s">
        <v>13</v>
      </c>
      <c r="C11" t="s">
        <v>51</v>
      </c>
      <c r="D11" t="s">
        <v>52</v>
      </c>
      <c r="E11" t="str">
        <f>HYPERLINK("https://es.linkedin.com/company/quental?trk=public_jobs_topcard-org-name","Link")</f>
        <v>Link</v>
      </c>
      <c r="F11" t="s">
        <v>16</v>
      </c>
      <c r="G11" t="str">
        <f>HYPERLINK("https://es.linkedin.com/jobs/view/%F0%9F%A4%96%F0%9F%93%8A-ingeniero-a-de-datos-junior-big-data-sql-python-spark-para-proyectos-de-an%C3%A1lisis-de-datos-en-sector-puntero-%F0%9F%90%8D%F0%9F%92%A1-at-quental-4368612475?trk=public_jobs_topcard-title","Link")</f>
        <v>Link</v>
      </c>
      <c r="H11" t="s">
        <v>53</v>
      </c>
      <c r="I11" t="s">
        <v>54</v>
      </c>
      <c r="J11" t="s">
        <v>19</v>
      </c>
      <c r="K11" t="s">
        <v>49</v>
      </c>
      <c r="L11" t="s">
        <v>53</v>
      </c>
    </row>
    <row r="12" spans="1:12" x14ac:dyDescent="0.25">
      <c r="A12" t="s">
        <v>55</v>
      </c>
      <c r="B12" t="s">
        <v>13</v>
      </c>
      <c r="C12" t="s">
        <v>21</v>
      </c>
      <c r="D12" t="s">
        <v>22</v>
      </c>
      <c r="E12" t="str">
        <f>HYPERLINK("https://uk.linkedin.com/company/canonical?trk=public_jobs_topcard-org-name","Link")</f>
        <v>Link</v>
      </c>
      <c r="F12" t="s">
        <v>16</v>
      </c>
      <c r="G12" t="str">
        <f>HYPERLINK("https://es.linkedin.com/jobs/view/junior-software-developer-observability-at-canonical-4344868693?trk=public_jobs_topcard-title","Link")</f>
        <v>Link</v>
      </c>
      <c r="H12" t="s">
        <v>23</v>
      </c>
      <c r="I12" t="s">
        <v>24</v>
      </c>
      <c r="J12" t="s">
        <v>19</v>
      </c>
      <c r="K12" t="s">
        <v>25</v>
      </c>
      <c r="L12" t="s">
        <v>23</v>
      </c>
    </row>
    <row r="13" spans="1:12" x14ac:dyDescent="0.25">
      <c r="A13" t="s">
        <v>56</v>
      </c>
      <c r="B13" t="s">
        <v>13</v>
      </c>
      <c r="C13" t="s">
        <v>21</v>
      </c>
      <c r="D13" t="s">
        <v>22</v>
      </c>
      <c r="E13" t="str">
        <f>HYPERLINK("https://uk.linkedin.com/company/canonical?trk=public_jobs_topcard-org-name","Link")</f>
        <v>Link</v>
      </c>
      <c r="F13" t="s">
        <v>16</v>
      </c>
      <c r="G13" t="str">
        <f>HYPERLINK("https://es.linkedin.com/jobs/view/junior-software-developer-observability-at-canonical-4344099336?trk=public_jobs_topcard-title","Link")</f>
        <v>Link</v>
      </c>
      <c r="H13" t="s">
        <v>23</v>
      </c>
      <c r="I13" t="s">
        <v>24</v>
      </c>
      <c r="J13" t="s">
        <v>19</v>
      </c>
      <c r="L13" t="s">
        <v>23</v>
      </c>
    </row>
    <row r="14" spans="1:12" x14ac:dyDescent="0.25">
      <c r="A14" t="s">
        <v>57</v>
      </c>
      <c r="B14" t="s">
        <v>13</v>
      </c>
      <c r="C14" t="s">
        <v>21</v>
      </c>
      <c r="D14" t="s">
        <v>22</v>
      </c>
      <c r="E14" t="str">
        <f>HYPERLINK("https://uk.linkedin.com/company/canonical?trk=public_jobs_topcard-org-name","Link")</f>
        <v>Link</v>
      </c>
      <c r="F14" t="s">
        <v>16</v>
      </c>
      <c r="G14" t="str">
        <f>HYPERLINK("https://es.linkedin.com/jobs/view/junior-software-developer-observability-at-canonical-4344753207?trk=public_jobs_topcard-title","Link")</f>
        <v>Link</v>
      </c>
      <c r="H14" t="s">
        <v>23</v>
      </c>
      <c r="I14" t="s">
        <v>24</v>
      </c>
      <c r="J14" t="s">
        <v>19</v>
      </c>
      <c r="K14" t="s">
        <v>25</v>
      </c>
      <c r="L14" t="s">
        <v>23</v>
      </c>
    </row>
    <row r="15" spans="1:12" x14ac:dyDescent="0.25">
      <c r="A15" t="s">
        <v>58</v>
      </c>
      <c r="B15" t="s">
        <v>13</v>
      </c>
      <c r="C15" t="s">
        <v>59</v>
      </c>
      <c r="D15" t="s">
        <v>60</v>
      </c>
      <c r="E15" t="str">
        <f>HYPERLINK("https://www.linkedin.com/company/channel-factory?trk=public_jobs_topcard-org-name","Link")</f>
        <v>Link</v>
      </c>
      <c r="F15" t="s">
        <v>16</v>
      </c>
      <c r="G15" t="str">
        <f>HYPERLINK("https://es.linkedin.com/jobs/view/sr-software-engineer-media-buying-team-at-channel-factory-4345824234?trk=public_jobs_topcard-title","Link")</f>
        <v>Link</v>
      </c>
      <c r="H15" t="s">
        <v>23</v>
      </c>
      <c r="I15" t="s">
        <v>29</v>
      </c>
      <c r="J15" t="s">
        <v>19</v>
      </c>
      <c r="K15" t="s">
        <v>25</v>
      </c>
      <c r="L15" t="s">
        <v>23</v>
      </c>
    </row>
    <row r="16" spans="1:12" x14ac:dyDescent="0.25">
      <c r="A16" t="s">
        <v>61</v>
      </c>
      <c r="B16" t="s">
        <v>13</v>
      </c>
      <c r="C16" t="s">
        <v>62</v>
      </c>
      <c r="D16" t="s">
        <v>63</v>
      </c>
      <c r="E16" t="str">
        <f>HYPERLINK("https://es.linkedin.com/company/logicalis-spain?trk=public_jobs_topcard-org-name","Link")</f>
        <v>Link</v>
      </c>
      <c r="F16" t="s">
        <v>16</v>
      </c>
      <c r="G16" t="str">
        <f>HYPERLINK("https://es.linkedin.com/jobs/view/sr-automation-engineer-at-logicalis-spain-4377139056?trk=public_jobs_topcard-title","Link")</f>
        <v>Link</v>
      </c>
      <c r="H16" t="s">
        <v>17</v>
      </c>
      <c r="I16" t="s">
        <v>29</v>
      </c>
      <c r="J16" t="s">
        <v>19</v>
      </c>
      <c r="L16" t="s">
        <v>17</v>
      </c>
    </row>
    <row r="17" spans="1:12" x14ac:dyDescent="0.25">
      <c r="A17" t="s">
        <v>64</v>
      </c>
      <c r="B17" t="s">
        <v>13</v>
      </c>
      <c r="C17" t="s">
        <v>21</v>
      </c>
      <c r="D17" t="s">
        <v>22</v>
      </c>
      <c r="E17" t="str">
        <f>HYPERLINK("https://uk.linkedin.com/company/canonical?trk=public_jobs_topcard-org-name","Link")</f>
        <v>Link</v>
      </c>
      <c r="F17" t="s">
        <v>16</v>
      </c>
      <c r="G17" t="str">
        <f>HYPERLINK("https://es.linkedin.com/jobs/view/junior-software-developer-observability-at-canonical-4344139135?trk=public_jobs_topcard-title","Link")</f>
        <v>Link</v>
      </c>
      <c r="H17" t="s">
        <v>23</v>
      </c>
      <c r="I17" t="s">
        <v>24</v>
      </c>
      <c r="J17" t="s">
        <v>19</v>
      </c>
      <c r="L17" t="s">
        <v>23</v>
      </c>
    </row>
    <row r="18" spans="1:12" x14ac:dyDescent="0.25">
      <c r="A18" t="s">
        <v>65</v>
      </c>
      <c r="B18" t="s">
        <v>13</v>
      </c>
      <c r="C18" t="s">
        <v>66</v>
      </c>
      <c r="D18" t="s">
        <v>67</v>
      </c>
      <c r="E18" t="str">
        <f>HYPERLINK("https://de.linkedin.com/company/ultra-tendency?trk=public_jobs_topcard-org-name","Link")</f>
        <v>Link</v>
      </c>
      <c r="F18" t="s">
        <v>16</v>
      </c>
      <c r="G18" t="str">
        <f>HYPERLINK("https://es.linkedin.com/jobs/view/senior-data-engineer-databricks-m-f-at-ultra-tendency-4348296606?trk=public_jobs_topcard-title","Link")</f>
        <v>Link</v>
      </c>
      <c r="H18" t="s">
        <v>23</v>
      </c>
      <c r="I18" t="s">
        <v>29</v>
      </c>
      <c r="J18" t="s">
        <v>19</v>
      </c>
      <c r="K18" t="s">
        <v>25</v>
      </c>
      <c r="L18" t="s">
        <v>23</v>
      </c>
    </row>
    <row r="19" spans="1:12" x14ac:dyDescent="0.25">
      <c r="A19" t="s">
        <v>68</v>
      </c>
      <c r="B19" t="s">
        <v>13</v>
      </c>
      <c r="C19" t="s">
        <v>21</v>
      </c>
      <c r="D19" t="s">
        <v>22</v>
      </c>
      <c r="E19" t="str">
        <f>HYPERLINK("https://uk.linkedin.com/company/canonical?trk=public_jobs_topcard-org-name","Link")</f>
        <v>Link</v>
      </c>
      <c r="F19" t="s">
        <v>16</v>
      </c>
      <c r="G19" t="str">
        <f>HYPERLINK("https://es.linkedin.com/jobs/view/junior-software-developer-observability-at-canonical-4344898728?trk=public_jobs_topcard-title","Link")</f>
        <v>Link</v>
      </c>
      <c r="H19" t="s">
        <v>23</v>
      </c>
      <c r="I19" t="s">
        <v>24</v>
      </c>
      <c r="J19" t="s">
        <v>19</v>
      </c>
      <c r="K19" t="s">
        <v>25</v>
      </c>
      <c r="L19" t="s">
        <v>23</v>
      </c>
    </row>
    <row r="20" spans="1:12" x14ac:dyDescent="0.25">
      <c r="A20" t="s">
        <v>69</v>
      </c>
      <c r="B20" t="s">
        <v>13</v>
      </c>
      <c r="C20" t="s">
        <v>21</v>
      </c>
      <c r="D20" t="s">
        <v>22</v>
      </c>
      <c r="E20" t="str">
        <f>HYPERLINK("https://uk.linkedin.com/company/canonical?trk=public_jobs_topcard-org-name","Link")</f>
        <v>Link</v>
      </c>
      <c r="F20" t="s">
        <v>16</v>
      </c>
      <c r="G20" t="str">
        <f>HYPERLINK("https://es.linkedin.com/jobs/view/junior-software-developer-observability-at-canonical-4344958263?trk=public_jobs_topcard-title","Link")</f>
        <v>Link</v>
      </c>
      <c r="H20" t="s">
        <v>23</v>
      </c>
      <c r="I20" t="s">
        <v>24</v>
      </c>
      <c r="J20" t="s">
        <v>19</v>
      </c>
      <c r="L20" t="s">
        <v>23</v>
      </c>
    </row>
    <row r="21" spans="1:12" x14ac:dyDescent="0.25">
      <c r="A21" t="s">
        <v>70</v>
      </c>
      <c r="B21" t="s">
        <v>13</v>
      </c>
      <c r="C21" t="s">
        <v>71</v>
      </c>
      <c r="D21" t="s">
        <v>72</v>
      </c>
      <c r="E21" t="str">
        <f>HYPERLINK("https://www.linkedin.com/company/grid-dynamics?trk=public_jobs_topcard-org-name","Link")</f>
        <v>Link</v>
      </c>
      <c r="F21" t="s">
        <v>16</v>
      </c>
      <c r="G21" t="str">
        <f>HYPERLINK("https://es.linkedin.com/jobs/view/senior-full-stack-developer-with-python-at-grid-dynamics-4225591133?trk=public_jobs_topcard-title","Link")</f>
        <v>Link</v>
      </c>
      <c r="H21" t="s">
        <v>73</v>
      </c>
      <c r="I21" t="s">
        <v>29</v>
      </c>
      <c r="J21" t="s">
        <v>19</v>
      </c>
      <c r="L21" t="s">
        <v>73</v>
      </c>
    </row>
  </sheetData>
  <conditionalFormatting sqref="B2:B10000">
    <cfRule type="expression" dxfId="4" priority="1">
      <formula>$B2="A aplicar"</formula>
    </cfRule>
    <cfRule type="expression" dxfId="3" priority="2">
      <formula>$B2="Aplicado"</formula>
    </cfRule>
    <cfRule type="expression" dxfId="2" priority="3">
      <formula>$B2="En revisión"</formula>
    </cfRule>
    <cfRule type="expression" dxfId="1" priority="4">
      <formula>$B2="Aceptado"</formula>
    </cfRule>
    <cfRule type="expression" dxfId="0" priority="5">
      <formula>$B2="Rechazado"</formula>
    </cfRule>
  </conditionalFormatting>
  <dataValidations count="1">
    <dataValidation type="list" sqref="B2:B10000" xr:uid="{00000000-0002-0000-0000-000000000000}">
      <formula1>"A aplicar,Aplicado,En revisión,Aceptado,Rechazado"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 Patel</cp:lastModifiedBy>
  <dcterms:created xsi:type="dcterms:W3CDTF">2026-02-26T13:16:20Z</dcterms:created>
  <dcterms:modified xsi:type="dcterms:W3CDTF">2026-02-26T13:18:44Z</dcterms:modified>
</cp:coreProperties>
</file>